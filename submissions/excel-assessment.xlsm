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jpsi\MapUp_Assignment\MapUp-DA-Assessment-2024\submissions\"/>
    </mc:Choice>
  </mc:AlternateContent>
  <xr:revisionPtr revIDLastSave="0" documentId="13_ncr:1_{7EC2F09D-76FA-4CE8-B194-CD2548B8CE1B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20" l="1"/>
  <c r="C23" i="20"/>
  <c r="C24" i="20"/>
  <c r="C25" i="20"/>
  <c r="C26" i="20"/>
  <c r="C27" i="20"/>
  <c r="C28" i="20"/>
  <c r="C29" i="20"/>
  <c r="C30" i="20"/>
  <c r="C31" i="20"/>
  <c r="C32" i="20"/>
  <c r="C33" i="20"/>
  <c r="C34" i="20"/>
  <c r="C22" i="19" a="1"/>
  <c r="C22" i="19" s="1"/>
  <c r="B6" i="18"/>
  <c r="C30" i="18"/>
  <c r="D30" i="18"/>
  <c r="E30" i="18"/>
  <c r="F30" i="18"/>
  <c r="C29" i="18"/>
  <c r="D29" i="18"/>
  <c r="E29" i="18"/>
  <c r="F29" i="18"/>
  <c r="B30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F6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<sst xmlns="http://schemas.openxmlformats.org/spreadsheetml/2006/main" count="412" uniqueCount="190">
  <si>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</si>
  <si>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</si>
  <si>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</si>
  <si>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</si>
  <si>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</si>
  <si>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</si>
  <si>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</si>
  <si>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</si>
  <si>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</si>
  <si>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</si>
  <si>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</si>
  <si>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</si>
  <si>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</si>
  <si>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</si>
  <si>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</si>
  <si>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</si>
  <si>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</si>
  <si>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</si>
  <si>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</si>
  <si>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</si>
  <si>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</si>
  <si>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</si>
  <si>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</si>
  <si>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</si>
  <si>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</si>
  <si>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</si>
  <si>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</si>
  <si>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</si>
  <si>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</si>
  <si>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</si>
  <si>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</si>
  <si>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</si>
  <si>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</si>
  <si>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</si>
  <si>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</si>
  <si>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</si>
  <si>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</si>
  <si>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</si>
  <si>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</si>
  <si>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</si>
  <si>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</si>
  <si>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</si>
  <si>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</si>
  <si>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</si>
  <si>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</si>
  <si>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</si>
  <si>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</si>
  <si>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</si>
  <si>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</si>
  <si>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</si>
  <si>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</si>
  <si>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</si>
  <si>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</si>
  <si>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</si>
  <si>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</si>
  <si>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</si>
  <si>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</si>
  <si>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</si>
  <si>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</si>
  <si>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</si>
  <si>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</si>
  <si>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</si>
  <si>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</si>
  <si>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</si>
  <si>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</si>
  <si>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</si>
  <si>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</si>
  <si>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</si>
  <si>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</si>
  <si>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</si>
  <si>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</si>
  <si>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</si>
  <si>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</si>
  <si>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</si>
  <si>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</si>
  <si>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</si>
  <si>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</si>
  <si>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</si>
  <si>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</si>
  <si>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</si>
  <si>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</si>
  <si>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</si>
  <si>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</si>
  <si>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</si>
  <si>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</si>
  <si>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</si>
  <si>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</si>
  <si>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</si>
  <si>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</si>
  <si>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</si>
  <si>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</si>
  <si>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</si>
  <si>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</si>
  <si>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</si>
  <si>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</si>
  <si>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</si>
  <si>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</si>
  <si>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</si>
  <si>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</si>
  <si>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</si>
  <si>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</si>
  <si>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</si>
  <si>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</si>
  <si>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</si>
  <si>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</si>
  <si>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</si>
  <si>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</si>
  <si>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</si>
  <si>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</si>
  <si>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</si>
  <si>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</si>
  <si>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</si>
  <si>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</si>
  <si>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</si>
  <si>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</si>
  <si>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</si>
  <si>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</si>
  <si>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</si>
  <si>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</si>
  <si>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</si>
  <si>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</si>
  <si>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</si>
  <si>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</si>
  <si>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</si>
  <si>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</si>
  <si>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</si>
  <si>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</si>
  <si>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</si>
  <si>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</si>
  <si>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</si>
  <si>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</si>
  <si>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</si>
  <si>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</si>
  <si>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</si>
  <si>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</si>
  <si>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</si>
  <si>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</si>
  <si>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</si>
  <si>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</si>
  <si>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</si>
  <si>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</si>
  <si>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</si>
  <si>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</si>
  <si>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</si>
  <si>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</si>
  <si>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</si>
  <si>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</si>
  <si>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</si>
  <si>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</si>
  <si>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</si>
  <si>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</si>
  <si>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</si>
  <si>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</si>
  <si>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</si>
  <si>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</si>
  <si>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</si>
  <si>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</si>
  <si>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</si>
  <si>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</si>
  <si>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</si>
  <si>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</si>
  <si>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</si>
  <si>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</si>
  <si>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</si>
  <si>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</si>
  <si>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</si>
  <si>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</si>
  <si>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</si>
  <si>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</si>
  <si>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</si>
  <si>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</si>
  <si>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</si>
  <si>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</si>
  <si>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</si>
  <si>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</si>
  <si>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</si>
  <si>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</si>
  <si>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Please paste formula used here : 'formual' =SUMIF(H1:H40,"&gt;20")</t>
  </si>
  <si>
    <t xml:space="preserve">Formula/Functionality used: </t>
  </si>
  <si>
    <t xml:space="preserve">To use this functionality firstly click on Data ribon option on the top in excel , after this select the column of Table_A </t>
  </si>
  <si>
    <t>after this next and in the destination option put the formula "$B17$17 and apply the data will be spilted in the next coluns</t>
  </si>
  <si>
    <r>
      <t xml:space="preserve">I have used the built-in functionality from 'Data' ribon option called the </t>
    </r>
    <r>
      <rPr>
        <b/>
        <sz val="14"/>
        <color rgb="FF000000"/>
        <rFont val="Calibri"/>
        <family val="2"/>
        <scheme val="minor"/>
      </rPr>
      <t>Text to Columns</t>
    </r>
    <r>
      <rPr>
        <sz val="14"/>
        <color rgb="FF000000"/>
        <rFont val="Calibri"/>
        <family val="2"/>
        <scheme val="minor"/>
      </rPr>
      <t xml:space="preserve">, </t>
    </r>
  </si>
  <si>
    <t xml:space="preserve">From A16 to A54 than click on the Text to Columns options then select the delimited option and use the '-' separator </t>
  </si>
  <si>
    <t xml:space="preserve">In this case I have used the formula "=SUM(IFERROR(C12:C21,20))" , </t>
  </si>
  <si>
    <t xml:space="preserve">Using this formula firstly will check the error field in the column range C11:C21 and will subsitute the error value : "#N/A" with 20 </t>
  </si>
  <si>
    <t>and then the SUM() as a condtional formula will sum the values in the table</t>
  </si>
  <si>
    <t>I have Used the INDEX Formula for looking the value matches in the table by specifying the row and column positions</t>
  </si>
  <si>
    <t>The Formula is : "=INDEX($A$9:$J$18, MATCH(A23, $M$9:$M$18, 0), MATCH(B23, $M$9:$M$18, 0))" for values column c23, In this formula</t>
  </si>
  <si>
    <t xml:space="preserve">(1.)" "$A$9:$J$18:" This range includes both the ID column and the matrix of values in Table_A , (2) "MATCH(A23, $M$9:$M$18, 0)": This finds the row in Table_B based on the ID values from Table_B. </t>
  </si>
  <si>
    <t>(3). MATCH(B23, $M$9:$M$18, 0): This finds the matching or relative column in Table_B based on the ID values. And in formual '0' is match type for exact 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</si>
</sst>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00B050"/>
        </patternFill>
      </fill>
    </dxf>
    <dxf>
      <fill>
        <patternFill patternType="solid">
          <fgColor indexed="64"/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A6" zoomScale="76" zoomScaleNormal="100" workbookViewId="0">
      <selection activeCell="I20" sqref="I20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6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2" spans="1:24" x14ac:dyDescent="0.35">
      <c r="H42" s="1">
        <f>SUMIF(H1:H40,"&gt;20")</f>
        <v>1473.0000000000002</v>
      </c>
    </row>
  </sheetData>
  <conditionalFormatting sqref="A1:A1048576">
    <cfRule type="duplicateValues" dxfId="4" priority="10"/>
  </conditionalFormatting>
  <conditionalFormatting sqref="B1:B1048576">
    <cfRule type="duplicateValues" dxfId="3" priority="9"/>
  </conditionalFormatting>
  <conditionalFormatting sqref="A1">
    <cfRule type="expression" dxfId="2" priority="8" stopIfTrue="1">
      <formula>EXACT("-1", A1)</formula>
    </cfRule>
  </conditionalFormatting>
  <conditionalFormatting sqref="A1:X40">
    <cfRule type="expression" dxfId="1" priority="6" stopIfTrue="1">
      <formula>EXACT("-1",A1)</formula>
    </cfRule>
    <cfRule type="expression" dxfId="0" priority="2" stopIfTrue="1">
      <formula>AND(ISNUMBER(A1), A1=0)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0" sqref="B10"/>
    </sheetView>
  </sheetViews>
  <sheetFormatPr defaultColWidth="11" defaultRowHeight="14.5" x14ac:dyDescent="0.35"/>
  <cols>
    <col min="1" max="1" width="8.3984375" style="1" bestFit="1" customWidth="1"/>
    <col min="2" max="2" width="65" style="1" customWidth="1"/>
    <col min="3" max="3" width="40.296875" style="1" customWidth="1"/>
    <col min="4" max="4" width="14.69921875" style="1" customWidth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79" zoomScaleNormal="100" workbookViewId="0">
      <selection activeCell="H7" sqref="H7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163</v>
      </c>
    </row>
    <row r="2" spans="1:7" s="41" customFormat="1" ht="21" x14ac:dyDescent="0.5">
      <c r="B2" s="41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161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VLOOKUP(A6,Dataset!$A:$H,8,FALSE)</f>
        <v>3.6</v>
      </c>
      <c r="C6" s="12">
        <f>VLOOKUP(A6,Dataset!$A:$Q,14,FALSE)</f>
        <v>7.6</v>
      </c>
      <c r="D6" s="12">
        <f>VLOOKUP(A6,Dataset!$A:$W,18,FALSE)</f>
        <v>4.2</v>
      </c>
      <c r="E6" s="12">
        <f>VLOOKUP(A6,Dataset!$A:$W,20,FALSE)</f>
        <v>8.9</v>
      </c>
      <c r="F6" s="8">
        <f>VLOOKUP(A6,Dataset!$A:$W,22,FALSE)</f>
        <v>4.2</v>
      </c>
    </row>
    <row r="7" spans="1:7" ht="14.5" x14ac:dyDescent="0.35">
      <c r="A7" s="7" t="s">
        <v>4</v>
      </c>
      <c r="B7" s="12">
        <f>VLOOKUP(A7,Dataset!$A:$H,8,FALSE)</f>
        <v>3.6</v>
      </c>
      <c r="C7" s="12">
        <f>VLOOKUP(A7,Dataset!$A:$Q,14,FALSE)</f>
        <v>7.6</v>
      </c>
      <c r="D7" s="12">
        <f>VLOOKUP(A7,Dataset!$A:$W,18,FALSE)</f>
        <v>4.2</v>
      </c>
      <c r="E7" s="12">
        <f>VLOOKUP(A7,Dataset!$A:$W,20,FALSE)</f>
        <v>8.9</v>
      </c>
      <c r="F7" s="8">
        <f>VLOOKUP(A7,Dataset!$A:$W,22,FALSE)</f>
        <v>4.2</v>
      </c>
    </row>
    <row r="8" spans="1:7" ht="14.5" x14ac:dyDescent="0.35">
      <c r="A8" s="7" t="s">
        <v>7</v>
      </c>
      <c r="B8" s="12">
        <f>VLOOKUP(A8,Dataset!$A:$H,8,FALSE)</f>
        <v>5.4</v>
      </c>
      <c r="C8" s="12">
        <f>VLOOKUP(A8,Dataset!$A:$Q,14,FALSE)</f>
        <v>11.1</v>
      </c>
      <c r="D8" s="12">
        <f>VLOOKUP(A8,Dataset!$A:$W,18,FALSE)</f>
        <v>5.8</v>
      </c>
      <c r="E8" s="12">
        <f>VLOOKUP(A8,Dataset!$A:$W,20,FALSE)</f>
        <v>12.2</v>
      </c>
      <c r="F8" s="8">
        <f>VLOOKUP(A8,Dataset!$A:$W,22,FALSE)</f>
        <v>5.8</v>
      </c>
    </row>
    <row r="9" spans="1:7" ht="14.5" x14ac:dyDescent="0.35">
      <c r="A9" s="7" t="s">
        <v>8</v>
      </c>
      <c r="B9" s="12">
        <f>VLOOKUP(A9,Dataset!$A:$H,8,FALSE)</f>
        <v>6.6</v>
      </c>
      <c r="C9" s="12">
        <f>VLOOKUP(A9,Dataset!$A:$Q,14,FALSE)</f>
        <v>13.3</v>
      </c>
      <c r="D9" s="12">
        <f>VLOOKUP(A9,Dataset!$A:$W,18,FALSE)</f>
        <v>8.1</v>
      </c>
      <c r="E9" s="12">
        <f>VLOOKUP(A9,Dataset!$A:$W,20,FALSE)</f>
        <v>17</v>
      </c>
      <c r="F9" s="8">
        <f>VLOOKUP(A9,Dataset!$A:$W,22,FALSE)</f>
        <v>8.1</v>
      </c>
    </row>
    <row r="10" spans="1:7" ht="14.5" x14ac:dyDescent="0.35">
      <c r="A10" s="7" t="s">
        <v>11</v>
      </c>
      <c r="B10" s="12">
        <f>VLOOKUP(A10,Dataset!$A:$H,8,FALSE)</f>
        <v>13.8</v>
      </c>
      <c r="C10" s="12">
        <f>VLOOKUP(A10,Dataset!$A:$Q,14,FALSE)</f>
        <v>28.3</v>
      </c>
      <c r="D10" s="12">
        <f>VLOOKUP(A10,Dataset!$A:$W,18,FALSE)</f>
        <v>16.100000000000001</v>
      </c>
      <c r="E10" s="12">
        <f>VLOOKUP(A10,Dataset!$A:$W,20,FALSE)</f>
        <v>32.799999999999997</v>
      </c>
      <c r="F10" s="8">
        <f>VLOOKUP(A10,Dataset!$A:$W,22,FALSE)</f>
        <v>16.100000000000001</v>
      </c>
    </row>
    <row r="11" spans="1:7" ht="14.5" x14ac:dyDescent="0.35">
      <c r="A11" s="7" t="s">
        <v>12</v>
      </c>
      <c r="B11" s="12">
        <f>VLOOKUP(A11,Dataset!$A:$H,8,FALSE)</f>
        <v>17.3</v>
      </c>
      <c r="C11" s="12">
        <f>VLOOKUP(A11,Dataset!$A:$Q,14,FALSE)</f>
        <v>35.200000000000003</v>
      </c>
      <c r="D11" s="12">
        <f>VLOOKUP(A11,Dataset!$A:$W,18,FALSE)</f>
        <v>21.3</v>
      </c>
      <c r="E11" s="12">
        <f>VLOOKUP(A11,Dataset!$A:$W,20,FALSE)</f>
        <v>43</v>
      </c>
      <c r="F11" s="8">
        <f>VLOOKUP(A11,Dataset!$A:$W,22,FALSE)</f>
        <v>21.3</v>
      </c>
    </row>
    <row r="12" spans="1:7" ht="14.5" x14ac:dyDescent="0.35">
      <c r="A12" s="7" t="s">
        <v>14</v>
      </c>
      <c r="B12" s="12">
        <f>VLOOKUP(A12,Dataset!$A:$H,8,FALSE)</f>
        <v>27.5</v>
      </c>
      <c r="C12" s="12">
        <f>VLOOKUP(A12,Dataset!$A:$Q,14,FALSE)</f>
        <v>55.6</v>
      </c>
      <c r="D12" s="12">
        <f>VLOOKUP(A12,Dataset!$A:$W,18,FALSE)</f>
        <v>33.799999999999997</v>
      </c>
      <c r="E12" s="12">
        <f>VLOOKUP(A12,Dataset!$A:$W,20,FALSE)</f>
        <v>67.900000000000006</v>
      </c>
      <c r="F12" s="8">
        <f>VLOOKUP(A12,Dataset!$A:$W,22,FALSE)</f>
        <v>33.799999999999997</v>
      </c>
    </row>
    <row r="13" spans="1:7" ht="14.5" x14ac:dyDescent="0.35">
      <c r="A13" s="7" t="s">
        <v>15</v>
      </c>
      <c r="B13" s="12">
        <f>VLOOKUP(A13,Dataset!$A:$H,8,FALSE)</f>
        <v>0</v>
      </c>
      <c r="C13" s="12">
        <f>VLOOKUP(A13,Dataset!$A:$Q,14,FALSE)</f>
        <v>0</v>
      </c>
      <c r="D13" s="12">
        <f>VLOOKUP(A13,Dataset!$A:$W,18,FALSE)</f>
        <v>0</v>
      </c>
      <c r="E13" s="12">
        <f>VLOOKUP(A13,Dataset!$A:$W,20,FALSE)</f>
        <v>0</v>
      </c>
      <c r="F13" s="8">
        <f>VLOOKUP(A13,Dataset!$A:$W,22,FALSE)</f>
        <v>0</v>
      </c>
    </row>
    <row r="14" spans="1:7" ht="14.5" x14ac:dyDescent="0.35">
      <c r="A14" s="7" t="s">
        <v>16</v>
      </c>
      <c r="B14" s="12">
        <f>VLOOKUP(A14,Dataset!$A:$H,8,FALSE)</f>
        <v>32.1</v>
      </c>
      <c r="C14" s="12">
        <f>VLOOKUP(A14,Dataset!$A:$Q,14,FALSE)</f>
        <v>61.5</v>
      </c>
      <c r="D14" s="12">
        <f>VLOOKUP(A14,Dataset!$A:$W,18,FALSE)</f>
        <v>40.1</v>
      </c>
      <c r="E14" s="12">
        <f>VLOOKUP(A14,Dataset!$A:$W,20,FALSE)</f>
        <v>76.599999999999994</v>
      </c>
      <c r="F14" s="8">
        <f>VLOOKUP(A14,Dataset!$A:$W,22,FALSE)</f>
        <v>40.1</v>
      </c>
    </row>
    <row r="15" spans="1:7" ht="14.5" x14ac:dyDescent="0.35">
      <c r="A15" s="7" t="s">
        <v>18</v>
      </c>
      <c r="B15" s="12">
        <f>VLOOKUP(A15,Dataset!$A:$H,8,FALSE)</f>
        <v>39.299999999999997</v>
      </c>
      <c r="C15" s="12">
        <f>VLOOKUP(A15,Dataset!$A:$Q,14,FALSE)</f>
        <v>79.599999999999994</v>
      </c>
      <c r="D15" s="12">
        <f>VLOOKUP(A15,Dataset!$A:$W,18,FALSE)</f>
        <v>47.9</v>
      </c>
      <c r="E15" s="12">
        <f>VLOOKUP(A15,Dataset!$A:$W,20,FALSE)</f>
        <v>96.8</v>
      </c>
      <c r="F15" s="8">
        <f>VLOOKUP(A15,Dataset!$A:$W,22,FALSE)</f>
        <v>47.9</v>
      </c>
    </row>
    <row r="16" spans="1:7" ht="14.5" x14ac:dyDescent="0.35">
      <c r="A16" s="7" t="s">
        <v>20</v>
      </c>
      <c r="B16" s="12">
        <f>VLOOKUP(A16,Dataset!$A:$H,8,FALSE)</f>
        <v>42.3</v>
      </c>
      <c r="C16" s="12">
        <f>VLOOKUP(A16,Dataset!$A:$Q,14,FALSE)</f>
        <v>85.4</v>
      </c>
      <c r="D16" s="12">
        <f>VLOOKUP(A16,Dataset!$A:$W,18,FALSE)</f>
        <v>52.3</v>
      </c>
      <c r="E16" s="12">
        <f>VLOOKUP(A16,Dataset!$A:$W,20,FALSE)</f>
        <v>106.1</v>
      </c>
      <c r="F16" s="8">
        <f>VLOOKUP(A16,Dataset!$A:$W,22,FALSE)</f>
        <v>52.3</v>
      </c>
    </row>
    <row r="17" spans="1:6" ht="14.5" x14ac:dyDescent="0.35">
      <c r="A17" s="7" t="s">
        <v>22</v>
      </c>
      <c r="B17" s="12">
        <f>VLOOKUP(A17,Dataset!$A:$H,8,FALSE)</f>
        <v>45.5</v>
      </c>
      <c r="C17" s="12">
        <f>VLOOKUP(A17,Dataset!$A:$Q,14,FALSE)</f>
        <v>92.1</v>
      </c>
      <c r="D17" s="12">
        <f>VLOOKUP(A17,Dataset!$A:$W,18,FALSE)</f>
        <v>57</v>
      </c>
      <c r="E17" s="12">
        <f>VLOOKUP(A17,Dataset!$A:$W,20,FALSE)</f>
        <v>115.1</v>
      </c>
      <c r="F17" s="8">
        <f>VLOOKUP(A17,Dataset!$A:$W,22,FALSE)</f>
        <v>57</v>
      </c>
    </row>
    <row r="18" spans="1:6" ht="14.5" x14ac:dyDescent="0.35">
      <c r="A18" s="7" t="s">
        <v>23</v>
      </c>
      <c r="B18" s="12">
        <f>VLOOKUP(A18,Dataset!$A:$H,8,FALSE)</f>
        <v>50.1</v>
      </c>
      <c r="C18" s="12">
        <f>VLOOKUP(A18,Dataset!$A:$Q,14,FALSE)</f>
        <v>101.3</v>
      </c>
      <c r="D18" s="12">
        <f>VLOOKUP(A18,Dataset!$A:$W,18,FALSE)</f>
        <v>61.4</v>
      </c>
      <c r="E18" s="12">
        <f>VLOOKUP(A18,Dataset!$A:$W,20,FALSE)</f>
        <v>124.4</v>
      </c>
      <c r="F18" s="8">
        <f>VLOOKUP(A18,Dataset!$A:$W,22,FALSE)</f>
        <v>61.4</v>
      </c>
    </row>
    <row r="19" spans="1:6" ht="14.5" x14ac:dyDescent="0.35">
      <c r="A19" s="7" t="s">
        <v>24</v>
      </c>
      <c r="B19" s="12">
        <f>VLOOKUP(A19,Dataset!$A:$H,8,FALSE)</f>
        <v>52.3</v>
      </c>
      <c r="C19" s="12">
        <f>VLOOKUP(A19,Dataset!$A:$Q,14,FALSE)</f>
        <v>106.1</v>
      </c>
      <c r="D19" s="12">
        <f>VLOOKUP(A19,Dataset!$A:$W,18,FALSE)</f>
        <v>63.6</v>
      </c>
      <c r="E19" s="12">
        <f>VLOOKUP(A19,Dataset!$A:$W,20,FALSE)</f>
        <v>128.6</v>
      </c>
      <c r="F19" s="8">
        <f>VLOOKUP(A19,Dataset!$A:$W,22,FALSE)</f>
        <v>63.6</v>
      </c>
    </row>
    <row r="20" spans="1:6" ht="14.5" x14ac:dyDescent="0.35">
      <c r="A20" s="7" t="s">
        <v>28</v>
      </c>
      <c r="B20" s="12">
        <f>VLOOKUP(A20,Dataset!$A:$H,8,FALSE)</f>
        <v>0</v>
      </c>
      <c r="C20" s="12">
        <f>VLOOKUP(A20,Dataset!$A:$Q,14,FALSE)</f>
        <v>0</v>
      </c>
      <c r="D20" s="12">
        <f>VLOOKUP(A20,Dataset!$A:$W,18,FALSE)</f>
        <v>0</v>
      </c>
      <c r="E20" s="12">
        <f>VLOOKUP(A20,Dataset!$A:$W,20,FALSE)</f>
        <v>0</v>
      </c>
      <c r="F20" s="8">
        <f>VLOOKUP(A20,Dataset!$A:$W,22,FALSE)</f>
        <v>0</v>
      </c>
    </row>
    <row r="21" spans="1:6" ht="14.5" x14ac:dyDescent="0.35">
      <c r="A21" s="7" t="s">
        <v>57</v>
      </c>
      <c r="B21" s="12">
        <f>VLOOKUP(A21,Dataset!$A:$H,8,FALSE)</f>
        <v>61.4</v>
      </c>
      <c r="C21" s="12">
        <f>VLOOKUP(A21,Dataset!$A:$Q,14,FALSE)</f>
        <v>124.4</v>
      </c>
      <c r="D21" s="12">
        <f>VLOOKUP(A21,Dataset!$A:$W,18,FALSE)</f>
        <v>75</v>
      </c>
      <c r="E21" s="12">
        <f>VLOOKUP(A21,Dataset!$A:$W,20,FALSE)</f>
        <v>151.5</v>
      </c>
      <c r="F21" s="8">
        <f>VLOOKUP(A21,Dataset!$A:$W,22,FALSE)</f>
        <v>75</v>
      </c>
    </row>
    <row r="22" spans="1:6" ht="14.5" x14ac:dyDescent="0.35">
      <c r="A22" s="7" t="s">
        <v>58</v>
      </c>
      <c r="B22" s="12">
        <f>VLOOKUP(A22,Dataset!$A:$H,8,FALSE)</f>
        <v>-1</v>
      </c>
      <c r="C22" s="12">
        <f>VLOOKUP(A22,Dataset!$A:$Q,14,FALSE)</f>
        <v>-1</v>
      </c>
      <c r="D22" s="12">
        <f>VLOOKUP(A22,Dataset!$A:$W,18,FALSE)</f>
        <v>-1</v>
      </c>
      <c r="E22" s="12">
        <f>VLOOKUP(A22,Dataset!$A:$W,20,FALSE)</f>
        <v>-1</v>
      </c>
      <c r="F22" s="8">
        <f>VLOOKUP(A22,Dataset!$A:$W,22,FALSE)</f>
        <v>-1</v>
      </c>
    </row>
    <row r="23" spans="1:6" ht="14.5" x14ac:dyDescent="0.35">
      <c r="A23" s="7" t="s">
        <v>31</v>
      </c>
      <c r="B23" s="12">
        <f>VLOOKUP(A23,Dataset!$A:$H,8,FALSE)</f>
        <v>65.900000000000006</v>
      </c>
      <c r="C23" s="12">
        <f>VLOOKUP(A23,Dataset!$A:$Q,14,FALSE)</f>
        <v>133.4</v>
      </c>
      <c r="D23" s="12">
        <f>VLOOKUP(A23,Dataset!$A:$W,18,FALSE)</f>
        <v>79.400000000000006</v>
      </c>
      <c r="E23" s="12">
        <f>VLOOKUP(A23,Dataset!$A:$W,20,FALSE)</f>
        <v>160.9</v>
      </c>
      <c r="F23" s="8">
        <f>VLOOKUP(A23,Dataset!$A:$W,22,FALSE)</f>
        <v>79.400000000000006</v>
      </c>
    </row>
    <row r="24" spans="1:6" ht="14.5" x14ac:dyDescent="0.35">
      <c r="A24" s="7" t="s">
        <v>32</v>
      </c>
      <c r="B24" s="12">
        <f>VLOOKUP(A24,Dataset!$A:$H,8,FALSE)</f>
        <v>-1</v>
      </c>
      <c r="C24" s="12">
        <f>VLOOKUP(A24,Dataset!$A:$Q,14,FALSE)</f>
        <v>-1</v>
      </c>
      <c r="D24" s="12">
        <f>VLOOKUP(A24,Dataset!$A:$W,18,FALSE)</f>
        <v>-1</v>
      </c>
      <c r="E24" s="12">
        <f>VLOOKUP(A24,Dataset!$A:$W,20,FALSE)</f>
        <v>-1</v>
      </c>
      <c r="F24" s="8">
        <f>VLOOKUP(A24,Dataset!$A:$W,22,FALSE)</f>
        <v>-1</v>
      </c>
    </row>
    <row r="25" spans="1:6" ht="14.5" x14ac:dyDescent="0.35">
      <c r="A25" s="7" t="s">
        <v>34</v>
      </c>
      <c r="B25" s="12">
        <f>VLOOKUP(A25,Dataset!$A:$H,8,FALSE)</f>
        <v>63.6</v>
      </c>
      <c r="C25" s="12">
        <f>VLOOKUP(A25,Dataset!$A:$Q,14,FALSE)</f>
        <v>128.6</v>
      </c>
      <c r="D25" s="12">
        <f>VLOOKUP(A25,Dataset!$A:$W,18,FALSE)</f>
        <v>79.400000000000006</v>
      </c>
      <c r="E25" s="12">
        <f>VLOOKUP(A25,Dataset!$A:$W,20,FALSE)</f>
        <v>160.9</v>
      </c>
      <c r="F25" s="8">
        <f>VLOOKUP(A25,Dataset!$A:$W,22,FALSE)</f>
        <v>79.400000000000006</v>
      </c>
    </row>
    <row r="26" spans="1:6" ht="14.5" x14ac:dyDescent="0.35">
      <c r="A26" s="7" t="s">
        <v>37</v>
      </c>
      <c r="B26" s="12">
        <f>VLOOKUP(A26,Dataset!$A:$H,8,FALSE)</f>
        <v>72.8</v>
      </c>
      <c r="C26" s="12">
        <f>VLOOKUP(A26,Dataset!$A:$Q,14,FALSE)</f>
        <v>146.80000000000001</v>
      </c>
      <c r="D26" s="12">
        <f>VLOOKUP(A26,Dataset!$A:$W,18,FALSE)</f>
        <v>90.9</v>
      </c>
      <c r="E26" s="12">
        <f>VLOOKUP(A26,Dataset!$A:$W,20,FALSE)</f>
        <v>183.5</v>
      </c>
      <c r="F26" s="8">
        <f>VLOOKUP(A26,Dataset!$A:$W,22,FALSE)</f>
        <v>90.9</v>
      </c>
    </row>
    <row r="27" spans="1:6" ht="14.5" x14ac:dyDescent="0.35">
      <c r="A27" s="7" t="s">
        <v>39</v>
      </c>
      <c r="B27" s="12">
        <f>VLOOKUP(A27,Dataset!$A:$H,8,FALSE)</f>
        <v>77.2</v>
      </c>
      <c r="C27" s="12">
        <f>VLOOKUP(A27,Dataset!$A:$Q,14,FALSE)</f>
        <v>156.4</v>
      </c>
      <c r="D27" s="12">
        <f>VLOOKUP(A27,Dataset!$A:$W,18,FALSE)</f>
        <v>93.1</v>
      </c>
      <c r="E27" s="12">
        <f>VLOOKUP(A27,Dataset!$A:$W,20,FALSE)</f>
        <v>188.1</v>
      </c>
      <c r="F27" s="8">
        <f>VLOOKUP(A27,Dataset!$A:$W,22,FALSE)</f>
        <v>93.1</v>
      </c>
    </row>
    <row r="28" spans="1:6" ht="14.5" x14ac:dyDescent="0.3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5" x14ac:dyDescent="0.35">
      <c r="A29" s="19" t="s">
        <v>83</v>
      </c>
      <c r="B29" s="31">
        <f>MAX(B6:B27)</f>
        <v>77.2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5" x14ac:dyDescent="0.35">
      <c r="A30" s="19" t="s">
        <v>84</v>
      </c>
      <c r="B30" s="31">
        <f>AVERAGE(B6:B27)</f>
        <v>30.831818181818186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5" zoomScaleNormal="100" workbookViewId="0">
      <selection activeCell="H21" sqref="H21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3" t="s">
        <v>178</v>
      </c>
      <c r="B5" s="40" t="s">
        <v>181</v>
      </c>
    </row>
    <row r="6" spans="1:10" ht="18.5" x14ac:dyDescent="0.45">
      <c r="A6" s="43" t="s">
        <v>152</v>
      </c>
      <c r="B6" s="40" t="s">
        <v>179</v>
      </c>
    </row>
    <row r="7" spans="1:10" ht="18.5" x14ac:dyDescent="0.45">
      <c r="A7" s="43"/>
      <c r="B7" s="40" t="s">
        <v>182</v>
      </c>
    </row>
    <row r="8" spans="1:10" x14ac:dyDescent="0.35">
      <c r="B8" s="3" t="s">
        <v>180</v>
      </c>
    </row>
    <row r="9" spans="1:10" ht="23.5" x14ac:dyDescent="0.55000000000000004">
      <c r="A9" s="18" t="s">
        <v>164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161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2" sqref="C22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166</v>
      </c>
    </row>
    <row r="2" spans="1:3" ht="18.5" x14ac:dyDescent="0.45">
      <c r="B2" s="40" t="s">
        <v>165</v>
      </c>
    </row>
    <row r="5" spans="1:3" ht="14.5" x14ac:dyDescent="0.35">
      <c r="B5" s="1" t="s">
        <v>150</v>
      </c>
    </row>
    <row r="6" spans="1:3" ht="14.5" x14ac:dyDescent="0.35">
      <c r="A6" s="3" t="s">
        <v>53</v>
      </c>
      <c r="B6" s="1" t="s">
        <v>183</v>
      </c>
    </row>
    <row r="7" spans="1:3" ht="14.5" x14ac:dyDescent="0.35">
      <c r="A7" s="3" t="s">
        <v>152</v>
      </c>
      <c r="B7" s="1" t="s">
        <v>184</v>
      </c>
    </row>
    <row r="8" spans="1:3" x14ac:dyDescent="0.3">
      <c r="B8" s="2" t="s">
        <v>185</v>
      </c>
    </row>
    <row r="10" spans="1:3" ht="23.5" x14ac:dyDescent="0.55000000000000004">
      <c r="A10" s="18" t="s">
        <v>161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 t="e">
        <v>#N/A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 t="e">
        <v>#N/A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153</v>
      </c>
      <c r="C17" s="17">
        <v>150</v>
      </c>
    </row>
    <row r="18" spans="1:3" ht="14.5" x14ac:dyDescent="0.35">
      <c r="A18" s="32">
        <v>44933</v>
      </c>
      <c r="B18" s="17" t="s">
        <v>154</v>
      </c>
      <c r="C18" s="17">
        <v>80</v>
      </c>
    </row>
    <row r="19" spans="1:3" ht="14.5" x14ac:dyDescent="0.35">
      <c r="A19" s="32">
        <v>44934</v>
      </c>
      <c r="B19" s="17" t="s">
        <v>155</v>
      </c>
      <c r="C19" s="17" t="e">
        <v>#N/A</v>
      </c>
    </row>
    <row r="20" spans="1:3" ht="14.5" x14ac:dyDescent="0.35">
      <c r="A20" s="32">
        <v>44935</v>
      </c>
      <c r="B20" s="17" t="s">
        <v>156</v>
      </c>
      <c r="C20" s="17">
        <v>30</v>
      </c>
    </row>
    <row r="21" spans="1:3" ht="14.5" x14ac:dyDescent="0.35">
      <c r="A21" s="32">
        <v>44936</v>
      </c>
      <c r="B21" s="17" t="s">
        <v>157</v>
      </c>
      <c r="C21" s="17" t="e">
        <v>#N/A</v>
      </c>
    </row>
    <row r="22" spans="1:3" ht="14.5" x14ac:dyDescent="0.35">
      <c r="B22" s="17" t="s">
        <v>158</v>
      </c>
      <c r="C22" s="25" cm="1">
        <f t="array" ref="C22">SUM(IFERROR(C11:C21,20))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97" zoomScaleNormal="100" workbookViewId="0">
      <selection activeCell="C7" sqref="C7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174</v>
      </c>
    </row>
    <row r="3" spans="1:14" ht="14.5" x14ac:dyDescent="0.35">
      <c r="B3" s="1" t="s">
        <v>150</v>
      </c>
    </row>
    <row r="4" spans="1:14" ht="18.5" x14ac:dyDescent="0.45">
      <c r="A4" s="43" t="s">
        <v>53</v>
      </c>
      <c r="B4" s="1"/>
      <c r="C4" s="2" t="s">
        <v>186</v>
      </c>
    </row>
    <row r="5" spans="1:14" ht="18.5" x14ac:dyDescent="0.45">
      <c r="A5" s="43" t="s">
        <v>152</v>
      </c>
      <c r="B5" s="1"/>
      <c r="C5" s="2" t="s">
        <v>187</v>
      </c>
    </row>
    <row r="6" spans="1:14" ht="14.5" x14ac:dyDescent="0.35">
      <c r="A6" s="3"/>
      <c r="B6" s="1"/>
      <c r="C6" s="2" t="s">
        <v>188</v>
      </c>
    </row>
    <row r="7" spans="1:14" x14ac:dyDescent="0.3">
      <c r="C7" s="2" t="s">
        <v>189</v>
      </c>
    </row>
    <row r="8" spans="1:14" ht="23.5" x14ac:dyDescent="0.55000000000000004">
      <c r="A8" s="18" t="s">
        <v>161</v>
      </c>
      <c r="M8" s="18" t="s">
        <v>162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167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>
        <f>INDEX($A$9:$J$18, MATCH(A23, $M$9:$M$18, 0), MATCH(B23, $M$9:$M$18, 0))</f>
        <v>95</v>
      </c>
    </row>
    <row r="24" spans="1:14" ht="14.5" x14ac:dyDescent="0.35">
      <c r="A24" s="7">
        <v>10100</v>
      </c>
      <c r="B24" s="12">
        <v>10104</v>
      </c>
      <c r="C24" s="44">
        <f t="shared" ref="C24:C34" si="0">INDEX($A$9:$J$18, MATCH(A24, $M$9:$M$18, 0), MATCH(B24, $M$9:$M$18, 0))</f>
        <v>-1</v>
      </c>
    </row>
    <row r="25" spans="1:14" ht="14.5" x14ac:dyDescent="0.35">
      <c r="A25" s="7">
        <v>10108</v>
      </c>
      <c r="B25" s="12">
        <v>10102</v>
      </c>
      <c r="C25" s="44">
        <f t="shared" si="0"/>
        <v>160</v>
      </c>
    </row>
    <row r="26" spans="1:14" ht="14.5" x14ac:dyDescent="0.35">
      <c r="A26" s="7">
        <v>10100</v>
      </c>
      <c r="B26" s="12">
        <v>10106</v>
      </c>
      <c r="C26" s="44">
        <f t="shared" si="0"/>
        <v>185</v>
      </c>
    </row>
    <row r="27" spans="1:14" ht="14.5" x14ac:dyDescent="0.35">
      <c r="A27" s="7">
        <v>10108</v>
      </c>
      <c r="B27" s="12">
        <v>10110</v>
      </c>
      <c r="C27" s="44">
        <f t="shared" si="0"/>
        <v>50</v>
      </c>
    </row>
    <row r="28" spans="1:14" ht="14.5" x14ac:dyDescent="0.35">
      <c r="A28" s="7">
        <v>10102</v>
      </c>
      <c r="B28" s="12">
        <v>10104</v>
      </c>
      <c r="C28" s="44">
        <f t="shared" si="0"/>
        <v>-1</v>
      </c>
    </row>
    <row r="29" spans="1:14" ht="14.5" x14ac:dyDescent="0.35">
      <c r="A29" s="7">
        <v>10106</v>
      </c>
      <c r="B29" s="12">
        <v>10108</v>
      </c>
      <c r="C29" s="44">
        <f t="shared" si="0"/>
        <v>70</v>
      </c>
    </row>
    <row r="30" spans="1:14" ht="14.5" x14ac:dyDescent="0.35">
      <c r="A30" s="7">
        <v>10102</v>
      </c>
      <c r="B30" s="12">
        <v>10106</v>
      </c>
      <c r="C30" s="44">
        <f t="shared" si="0"/>
        <v>90</v>
      </c>
    </row>
    <row r="31" spans="1:14" ht="14.5" x14ac:dyDescent="0.35">
      <c r="A31" s="7">
        <v>10110</v>
      </c>
      <c r="B31" s="12">
        <v>10114</v>
      </c>
      <c r="C31" s="44">
        <f t="shared" si="0"/>
        <v>180</v>
      </c>
    </row>
    <row r="32" spans="1:14" ht="14.5" x14ac:dyDescent="0.35">
      <c r="A32" s="7">
        <v>10104</v>
      </c>
      <c r="B32" s="12">
        <v>10106</v>
      </c>
      <c r="C32" s="44">
        <f t="shared" si="0"/>
        <v>60</v>
      </c>
    </row>
    <row r="33" spans="1:3" ht="14.5" x14ac:dyDescent="0.35">
      <c r="A33" s="7">
        <v>10110</v>
      </c>
      <c r="B33" s="12">
        <v>10112</v>
      </c>
      <c r="C33" s="44">
        <f t="shared" si="0"/>
        <v>115</v>
      </c>
    </row>
    <row r="34" spans="1:3" ht="14.5" x14ac:dyDescent="0.35">
      <c r="A34" s="7">
        <v>10100</v>
      </c>
      <c r="B34" s="12">
        <v>10114</v>
      </c>
      <c r="C34" s="44">
        <f t="shared" si="0"/>
        <v>480</v>
      </c>
    </row>
    <row r="35" spans="1:3" ht="14.5" x14ac:dyDescent="0.35">
      <c r="A35" s="9">
        <v>10112</v>
      </c>
      <c r="B35" s="13">
        <v>10116</v>
      </c>
      <c r="C35" s="44">
        <f>INDEX($A$9:$J$18, MATCH(A35, $M$9:$M$18, 0), MATCH(B35, $M$9:$M$18, 0))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JP PAL</cp:lastModifiedBy>
  <dcterms:created xsi:type="dcterms:W3CDTF">2015-02-10T17:33:11Z</dcterms:created>
  <dcterms:modified xsi:type="dcterms:W3CDTF">2024-10-22T22:16:37Z</dcterms:modified>
</cp:coreProperties>
</file>